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archive (1)\Project1_LoanAnalysis\Excel\"/>
    </mc:Choice>
  </mc:AlternateContent>
  <xr:revisionPtr revIDLastSave="0" documentId="13_ncr:1_{B96D18E8-4224-4C5F-8A5F-6CB087423E88}" xr6:coauthVersionLast="47" xr6:coauthVersionMax="47" xr10:uidLastSave="{00000000-0000-0000-0000-000000000000}"/>
  <bookViews>
    <workbookView xWindow="-120" yWindow="-120" windowWidth="20730" windowHeight="11040" firstSheet="4" activeTab="5" xr2:uid="{0B38C794-72AD-47B5-BB53-B1ABD7272B62}"/>
  </bookViews>
  <sheets>
    <sheet name="Gender_Split" sheetId="2" r:id="rId1"/>
    <sheet name="Credit_By_Purpose" sheetId="3" r:id="rId2"/>
    <sheet name="Credit_By_Housing" sheetId="4" r:id="rId3"/>
    <sheet name="Risk_Combinations" sheetId="5" r:id="rId4"/>
    <sheet name="query5_total_vs_avg_by_purpose" sheetId="6" r:id="rId5"/>
    <sheet name="Dashboard" sheetId="1" r:id="rId6"/>
  </sheets>
  <definedNames>
    <definedName name="ExternalData_1" localSheetId="2" hidden="1">Credit_By_Housing!$A$1:$C$4</definedName>
    <definedName name="ExternalData_1" localSheetId="1" hidden="1">Credit_By_Purpose!$A$1:$D$9</definedName>
    <definedName name="ExternalData_1" localSheetId="0" hidden="1">Gender_Split!$A$1:$C$3</definedName>
    <definedName name="ExternalData_1" localSheetId="4" hidden="1">query5_total_vs_avg_by_purpose!$A$1:$D$9</definedName>
    <definedName name="ExternalData_1" localSheetId="3" hidden="1">Risk_Combinations!$A$1:$D$11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1283C-6BF7-4B7F-A838-B03E20A6BF3C}" keepAlive="1" name="Query - query1_gender_split" description="Connection to the 'query1_gender_split' query in the workbook." type="5" refreshedVersion="8" background="1" saveData="1">
    <dbPr connection="Provider=Microsoft.Mashup.OleDb.1;Data Source=$Workbook$;Location=query1_gender_split;Extended Properties=&quot;&quot;" command="SELECT * FROM [query1_gender_split]"/>
  </connection>
  <connection id="2" xr16:uid="{66955EAF-D853-426B-9E07-2453DA6DDF88}" keepAlive="1" name="Query - query2_avg_credit_by_purpose" description="Connection to the 'query2_avg_credit_by_purpose' query in the workbook." type="5" refreshedVersion="8" background="1" saveData="1">
    <dbPr connection="Provider=Microsoft.Mashup.OleDb.1;Data Source=$Workbook$;Location=query2_avg_credit_by_purpose;Extended Properties=&quot;&quot;" command="SELECT * FROM [query2_avg_credit_by_purpose]"/>
  </connection>
  <connection id="3" xr16:uid="{165DCD14-A0F8-45B3-9995-531401A433EC}" keepAlive="1" name="Query - query3_avg-credit_by_housing" description="Connection to the 'query3_avg-credit_by_housing' query in the workbook." type="5" refreshedVersion="8" background="1" saveData="1">
    <dbPr connection="Provider=Microsoft.Mashup.OleDb.1;Data Source=$Workbook$;Location=query3_avg-credit_by_housing;Extended Properties=&quot;&quot;" command="SELECT * FROM [query3_avg-credit_by_housing]"/>
  </connection>
  <connection id="4" xr16:uid="{91DF1FDE-416F-40D1-A96E-EA296681AC73}" keepAlive="1" name="Query - query4_top10_risk_combinations" description="Connection to the 'query4_top10_risk_combinations' query in the workbook." type="5" refreshedVersion="8" background="1" saveData="1">
    <dbPr connection="Provider=Microsoft.Mashup.OleDb.1;Data Source=$Workbook$;Location=query4_top10_risk_combinations;Extended Properties=&quot;&quot;" command="SELECT * FROM [query4_top10_risk_combinations]"/>
  </connection>
  <connection id="5" xr16:uid="{64A1D4BC-4AF9-458E-9286-80ED998BC790}" keepAlive="1" name="Query - query5_total_vs_avg_by_purpose" description="Connection to the 'query5_total_vs_avg_by_purpose' query in the workbook." type="5" refreshedVersion="8" background="1" saveData="1">
    <dbPr connection="Provider=Microsoft.Mashup.OleDb.1;Data Source=$Workbook$;Location=query5_total_vs_avg_by_purpose;Extended Properties=&quot;&quot;" command="SELECT * FROM [query5_total_vs_avg_by_purpose]"/>
  </connection>
</connections>
</file>

<file path=xl/sharedStrings.xml><?xml version="1.0" encoding="utf-8"?>
<sst xmlns="http://schemas.openxmlformats.org/spreadsheetml/2006/main" count="60" uniqueCount="23">
  <si>
    <t>sex</t>
  </si>
  <si>
    <t>total_applicants</t>
  </si>
  <si>
    <t>percentage</t>
  </si>
  <si>
    <t>female</t>
  </si>
  <si>
    <t>male</t>
  </si>
  <si>
    <t>purpose</t>
  </si>
  <si>
    <t>total_loans</t>
  </si>
  <si>
    <t>avg_credit_amount</t>
  </si>
  <si>
    <t>avg_duration_months</t>
  </si>
  <si>
    <t>vacation/others</t>
  </si>
  <si>
    <t>business</t>
  </si>
  <si>
    <t>car</t>
  </si>
  <si>
    <t>furniture/equipment</t>
  </si>
  <si>
    <t>education</t>
  </si>
  <si>
    <t>repairs</t>
  </si>
  <si>
    <t>radio/TV</t>
  </si>
  <si>
    <t>domestic appliances</t>
  </si>
  <si>
    <t>housing</t>
  </si>
  <si>
    <t>free</t>
  </si>
  <si>
    <t>rent</t>
  </si>
  <si>
    <t>own</t>
  </si>
  <si>
    <t>total_credit_amount</t>
  </si>
  <si>
    <t>LOAN RISK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</si>
</sst>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Applicant</a:t>
            </a:r>
            <a:r>
              <a:rPr lang="en-US" baseline="0"/>
              <a:t> Gender split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Gender_Split!$B$1</c:f>
              <c:strCache>
                <c:ptCount val="1"/>
                <c:pt idx="0">
                  <c:v>total_applicants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19-444F-BD1A-F9E43F5CB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19-444F-BD1A-F9E43F5CBC0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Gender_Split!$A$2:$A$3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Gender_Split!$B$2:$B$3</c:f>
              <c:numCache>
                <c:formatCode>General</c:formatCode>
                <c:ptCount val="2"/>
                <c:pt idx="0">
                  <c:v>310</c:v>
                </c:pt>
                <c:pt idx="1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0-48E5-829E-17A4323927C1}"/>
            </c:ext>
          </c:extLst>
        </c:ser>
        <c:ser>
          <c:idx val="1"/>
          <c:order val="1"/>
          <c:tx>
            <c:strRef>
              <c:f>Gender_Split!$C$1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19-444F-BD1A-F9E43F5CB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19-444F-BD1A-F9E43F5CBC0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Gender_Split!$A$2:$A$3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Gender_Split!$C$2:$C$3</c:f>
              <c:numCache>
                <c:formatCode>General</c:formatCode>
                <c:ptCount val="2"/>
                <c:pt idx="0">
                  <c:v>31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0-48E5-829E-17A4323927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credit amount by Purpose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580927384076992E-2"/>
          <c:y val="0.23652777777777778"/>
          <c:w val="0.87753018372703417"/>
          <c:h val="0.37977289297171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Credit_By_Purpose!$B$1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Credit_By_Purpose!$B$2:$B$9</c:f>
              <c:numCache>
                <c:formatCode>General</c:formatCode>
                <c:ptCount val="8"/>
                <c:pt idx="0">
                  <c:v>12</c:v>
                </c:pt>
                <c:pt idx="1">
                  <c:v>97</c:v>
                </c:pt>
                <c:pt idx="2">
                  <c:v>337</c:v>
                </c:pt>
                <c:pt idx="3">
                  <c:v>181</c:v>
                </c:pt>
                <c:pt idx="4">
                  <c:v>59</c:v>
                </c:pt>
                <c:pt idx="5">
                  <c:v>22</c:v>
                </c:pt>
                <c:pt idx="6">
                  <c:v>280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3-47BD-B055-538752AD4F2D}"/>
            </c:ext>
          </c:extLst>
        </c:ser>
        <c:ser>
          <c:idx val="1"/>
          <c:order val="1"/>
          <c:tx>
            <c:strRef>
              <c:f>Credit_By_Purpose!$C$1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Credit_By_Purpose!$C$2:$C$9</c:f>
              <c:numCache>
                <c:formatCode>General</c:formatCode>
                <c:ptCount val="8"/>
                <c:pt idx="0">
                  <c:v>8209.33</c:v>
                </c:pt>
                <c:pt idx="1">
                  <c:v>4158.04</c:v>
                </c:pt>
                <c:pt idx="2">
                  <c:v>3768.19</c:v>
                </c:pt>
                <c:pt idx="3">
                  <c:v>3066.99</c:v>
                </c:pt>
                <c:pt idx="4">
                  <c:v>2879.2</c:v>
                </c:pt>
                <c:pt idx="5">
                  <c:v>2728.09</c:v>
                </c:pt>
                <c:pt idx="6">
                  <c:v>2487.65</c:v>
                </c:pt>
                <c:pt idx="7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3-47BD-B055-538752AD4F2D}"/>
            </c:ext>
          </c:extLst>
        </c:ser>
        <c:ser>
          <c:idx val="2"/>
          <c:order val="2"/>
          <c:tx>
            <c:strRef>
              <c:f>Credit_By_Purpose!$D$1</c:f>
              <c:strCache>
                <c:ptCount val="1"/>
                <c:pt idx="0">
                  <c:v>avg_duration_months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Credit_By_Purpose!$D$2:$D$9</c:f>
              <c:numCache>
                <c:formatCode>General</c:formatCode>
                <c:ptCount val="8"/>
                <c:pt idx="0">
                  <c:v>32.33</c:v>
                </c:pt>
                <c:pt idx="1">
                  <c:v>26.94</c:v>
                </c:pt>
                <c:pt idx="2">
                  <c:v>20.81</c:v>
                </c:pt>
                <c:pt idx="3">
                  <c:v>19.29</c:v>
                </c:pt>
                <c:pt idx="4">
                  <c:v>19.68</c:v>
                </c:pt>
                <c:pt idx="5">
                  <c:v>19.09</c:v>
                </c:pt>
                <c:pt idx="6">
                  <c:v>20.05</c:v>
                </c:pt>
                <c:pt idx="7">
                  <c:v>16.829999999999998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3-47BD-B055-538752AD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513423"/>
        <c:axId val="484519663"/>
      </c:barChart>
      <c:catAx>
        <c:axId val="48451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9663"/>
        <c:crosses val="autoZero"/>
        <c:auto val="1"/>
        <c:lblAlgn val="ctr"/>
        <c:lblOffset val="100"/>
        <c:noMultiLvlLbl val="0"/>
      </c:catAx>
      <c:valAx>
        <c:axId val="48451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credit</a:t>
            </a:r>
            <a:r>
              <a:rPr lang="en-US" baseline="0"/>
              <a:t> amount by housing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20916666666666667"/>
          <c:w val="0.87753018372703417"/>
          <c:h val="0.535863954505686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Credit_By_Housing!$B$1</c:f>
              <c:strCache>
                <c:ptCount val="1"/>
                <c:pt idx="0">
                  <c:v>total_applicants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Credit_By_Housing!$A$2:$A$4</c:f>
              <c:strCache>
                <c:ptCount val="3"/>
                <c:pt idx="0">
                  <c:v>free</c:v>
                </c:pt>
                <c:pt idx="1">
                  <c:v>rent</c:v>
                </c:pt>
                <c:pt idx="2">
                  <c:v>own</c:v>
                </c:pt>
              </c:strCache>
            </c:strRef>
          </c:cat>
          <c:val>
            <c:numRef>
              <c:f>Credit_By_Housing!$B$2:$B$4</c:f>
              <c:numCache>
                <c:formatCode>General</c:formatCode>
                <c:ptCount val="3"/>
                <c:pt idx="0">
                  <c:v>108</c:v>
                </c:pt>
                <c:pt idx="1">
                  <c:v>179</c:v>
                </c:pt>
                <c:pt idx="2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3-4BC9-8318-8DC58205F1B7}"/>
            </c:ext>
          </c:extLst>
        </c:ser>
        <c:ser>
          <c:idx val="1"/>
          <c:order val="1"/>
          <c:tx>
            <c:strRef>
              <c:f>Credit_By_Housing!$C$1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Credit_By_Housing!$A$2:$A$4</c:f>
              <c:strCache>
                <c:ptCount val="3"/>
                <c:pt idx="0">
                  <c:v>free</c:v>
                </c:pt>
                <c:pt idx="1">
                  <c:v>rent</c:v>
                </c:pt>
                <c:pt idx="2">
                  <c:v>own</c:v>
                </c:pt>
              </c:strCache>
            </c:strRef>
          </c:cat>
          <c:val>
            <c:numRef>
              <c:f>Credit_By_Housing!$C$2:$C$4</c:f>
              <c:numCache>
                <c:formatCode>General</c:formatCode>
                <c:ptCount val="3"/>
                <c:pt idx="0">
                  <c:v>4906.21</c:v>
                </c:pt>
                <c:pt idx="1">
                  <c:v>3122.55</c:v>
                </c:pt>
                <c:pt idx="2">
                  <c:v>3060.94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3-4BC9-8318-8DC58205F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6228911"/>
        <c:axId val="496211151"/>
        <c:axId val="0"/>
      </c:bar3DChart>
      <c:catAx>
        <c:axId val="49622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11151"/>
        <c:crosses val="autoZero"/>
        <c:auto val="1"/>
        <c:lblAlgn val="ctr"/>
        <c:lblOffset val="100"/>
        <c:noMultiLvlLbl val="0"/>
      </c:catAx>
      <c:valAx>
        <c:axId val="49621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risk combinations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Risk_Combinations!$C$1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Risk_Combinations!$A$2:$B$11</c:f>
              <c:multiLvlStrCache>
                <c:ptCount val="10"/>
                <c:lvl>
                  <c:pt idx="0">
                    <c:v>own</c:v>
                  </c:pt>
                  <c:pt idx="1">
                    <c:v>free</c:v>
                  </c:pt>
                  <c:pt idx="2">
                    <c:v>free</c:v>
                  </c:pt>
                  <c:pt idx="3">
                    <c:v>rent</c:v>
                  </c:pt>
                  <c:pt idx="4">
                    <c:v>free</c:v>
                  </c:pt>
                  <c:pt idx="5">
                    <c:v>free</c:v>
                  </c:pt>
                  <c:pt idx="6">
                    <c:v>free</c:v>
                  </c:pt>
                  <c:pt idx="7">
                    <c:v>own</c:v>
                  </c:pt>
                  <c:pt idx="8">
                    <c:v>rent</c:v>
                  </c:pt>
                  <c:pt idx="9">
                    <c:v>own</c:v>
                  </c:pt>
                </c:lvl>
                <c:lvl>
                  <c:pt idx="0">
                    <c:v>vacation/others</c:v>
                  </c:pt>
                  <c:pt idx="1">
                    <c:v>vacation/others</c:v>
                  </c:pt>
                  <c:pt idx="2">
                    <c:v>car</c:v>
                  </c:pt>
                  <c:pt idx="3">
                    <c:v>business</c:v>
                  </c:pt>
                  <c:pt idx="4">
                    <c:v>business</c:v>
                  </c:pt>
                  <c:pt idx="5">
                    <c:v>education</c:v>
                  </c:pt>
                  <c:pt idx="6">
                    <c:v>furniture/equipment</c:v>
                  </c:pt>
                  <c:pt idx="7">
                    <c:v>business</c:v>
                  </c:pt>
                  <c:pt idx="8">
                    <c:v>car</c:v>
                  </c:pt>
                  <c:pt idx="9">
                    <c:v>car</c:v>
                  </c:pt>
                </c:lvl>
              </c:multiLvlStrCache>
            </c:multiLvlStrRef>
          </c:cat>
          <c:val>
            <c:numRef>
              <c:f>Risk_Combinations!$C$2:$C$11</c:f>
              <c:numCache>
                <c:formatCode>General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55</c:v>
                </c:pt>
                <c:pt idx="3">
                  <c:v>16</c:v>
                </c:pt>
                <c:pt idx="4">
                  <c:v>5</c:v>
                </c:pt>
                <c:pt idx="5">
                  <c:v>15</c:v>
                </c:pt>
                <c:pt idx="6">
                  <c:v>11</c:v>
                </c:pt>
                <c:pt idx="7">
                  <c:v>76</c:v>
                </c:pt>
                <c:pt idx="8">
                  <c:v>63</c:v>
                </c:pt>
                <c:pt idx="9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415-9348-37F3A56B8F46}"/>
            </c:ext>
          </c:extLst>
        </c:ser>
        <c:ser>
          <c:idx val="1"/>
          <c:order val="1"/>
          <c:tx>
            <c:strRef>
              <c:f>Risk_Combinations!$D$1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Risk_Combinations!$A$2:$B$11</c:f>
              <c:multiLvlStrCache>
                <c:ptCount val="10"/>
                <c:lvl>
                  <c:pt idx="0">
                    <c:v>own</c:v>
                  </c:pt>
                  <c:pt idx="1">
                    <c:v>free</c:v>
                  </c:pt>
                  <c:pt idx="2">
                    <c:v>free</c:v>
                  </c:pt>
                  <c:pt idx="3">
                    <c:v>rent</c:v>
                  </c:pt>
                  <c:pt idx="4">
                    <c:v>free</c:v>
                  </c:pt>
                  <c:pt idx="5">
                    <c:v>free</c:v>
                  </c:pt>
                  <c:pt idx="6">
                    <c:v>free</c:v>
                  </c:pt>
                  <c:pt idx="7">
                    <c:v>own</c:v>
                  </c:pt>
                  <c:pt idx="8">
                    <c:v>rent</c:v>
                  </c:pt>
                  <c:pt idx="9">
                    <c:v>own</c:v>
                  </c:pt>
                </c:lvl>
                <c:lvl>
                  <c:pt idx="0">
                    <c:v>vacation/others</c:v>
                  </c:pt>
                  <c:pt idx="1">
                    <c:v>vacation/others</c:v>
                  </c:pt>
                  <c:pt idx="2">
                    <c:v>car</c:v>
                  </c:pt>
                  <c:pt idx="3">
                    <c:v>business</c:v>
                  </c:pt>
                  <c:pt idx="4">
                    <c:v>business</c:v>
                  </c:pt>
                  <c:pt idx="5">
                    <c:v>education</c:v>
                  </c:pt>
                  <c:pt idx="6">
                    <c:v>furniture/equipment</c:v>
                  </c:pt>
                  <c:pt idx="7">
                    <c:v>business</c:v>
                  </c:pt>
                  <c:pt idx="8">
                    <c:v>car</c:v>
                  </c:pt>
                  <c:pt idx="9">
                    <c:v>car</c:v>
                  </c:pt>
                </c:lvl>
              </c:multiLvlStrCache>
            </c:multiLvlStrRef>
          </c:cat>
          <c:val>
            <c:numRef>
              <c:f>Risk_Combinations!$D$2:$D$11</c:f>
              <c:numCache>
                <c:formatCode>General</c:formatCode>
                <c:ptCount val="10"/>
                <c:pt idx="0">
                  <c:v>8700.3799999999992</c:v>
                </c:pt>
                <c:pt idx="1">
                  <c:v>7227.25</c:v>
                </c:pt>
                <c:pt idx="2">
                  <c:v>5834.18</c:v>
                </c:pt>
                <c:pt idx="3">
                  <c:v>5614.13</c:v>
                </c:pt>
                <c:pt idx="4">
                  <c:v>4931.8</c:v>
                </c:pt>
                <c:pt idx="5">
                  <c:v>4387.2700000000004</c:v>
                </c:pt>
                <c:pt idx="6">
                  <c:v>4100.18</c:v>
                </c:pt>
                <c:pt idx="7">
                  <c:v>3800.59</c:v>
                </c:pt>
                <c:pt idx="8">
                  <c:v>3487.97</c:v>
                </c:pt>
                <c:pt idx="9">
                  <c:v>3329.95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5-4415-9348-37F3A56B8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780143"/>
        <c:axId val="594790703"/>
        <c:axId val="0"/>
      </c:bar3DChart>
      <c:catAx>
        <c:axId val="59478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90703"/>
        <c:crosses val="autoZero"/>
        <c:auto val="1"/>
        <c:lblAlgn val="ctr"/>
        <c:lblOffset val="100"/>
        <c:noMultiLvlLbl val="0"/>
      </c:catAx>
      <c:valAx>
        <c:axId val="594790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 vs Average credit by purpose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query5_total_vs_avg_by_purpose!$B$1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query5_total_vs_avg_by_purpose!$B$2:$B$9</c:f>
              <c:numCache>
                <c:formatCode>General</c:formatCode>
                <c:ptCount val="8"/>
                <c:pt idx="0">
                  <c:v>337</c:v>
                </c:pt>
                <c:pt idx="1">
                  <c:v>280</c:v>
                </c:pt>
                <c:pt idx="2">
                  <c:v>181</c:v>
                </c:pt>
                <c:pt idx="3">
                  <c:v>97</c:v>
                </c:pt>
                <c:pt idx="4">
                  <c:v>59</c:v>
                </c:pt>
                <c:pt idx="5">
                  <c:v>12</c:v>
                </c:pt>
                <c:pt idx="6">
                  <c:v>22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F-4462-AD68-A33BDD053004}"/>
            </c:ext>
          </c:extLst>
        </c:ser>
        <c:ser>
          <c:idx val="1"/>
          <c:order val="1"/>
          <c:tx>
            <c:strRef>
              <c:f>query5_total_vs_avg_by_purpose!$C$1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query5_total_vs_avg_by_purpose!$C$2:$C$9</c:f>
              <c:numCache>
                <c:formatCode>General</c:formatCode>
                <c:ptCount val="8"/>
                <c:pt idx="0">
                  <c:v>3768.19</c:v>
                </c:pt>
                <c:pt idx="1">
                  <c:v>2487.65</c:v>
                </c:pt>
                <c:pt idx="2">
                  <c:v>3066.99</c:v>
                </c:pt>
                <c:pt idx="3">
                  <c:v>4158.04</c:v>
                </c:pt>
                <c:pt idx="4">
                  <c:v>2879.2</c:v>
                </c:pt>
                <c:pt idx="5">
                  <c:v>8209.33</c:v>
                </c:pt>
                <c:pt idx="6">
                  <c:v>2728.09</c:v>
                </c:pt>
                <c:pt idx="7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F-4462-AD68-A33BDD053004}"/>
            </c:ext>
          </c:extLst>
        </c:ser>
        <c:ser>
          <c:idx val="2"/>
          <c:order val="2"/>
          <c:tx>
            <c:strRef>
              <c:f>query5_total_vs_avg_by_purpose!$D$1</c:f>
              <c:strCache>
                <c:ptCount val="1"/>
                <c:pt idx="0">
                  <c:v>total_credit_amount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query5_total_vs_avg_by_purpose!$D$2:$D$9</c:f>
              <c:numCache>
                <c:formatCode>General</c:formatCode>
                <c:ptCount val="8"/>
                <c:pt idx="0">
                  <c:v>1269881</c:v>
                </c:pt>
                <c:pt idx="1">
                  <c:v>696543</c:v>
                </c:pt>
                <c:pt idx="2">
                  <c:v>555125</c:v>
                </c:pt>
                <c:pt idx="3">
                  <c:v>403330</c:v>
                </c:pt>
                <c:pt idx="4">
                  <c:v>169873</c:v>
                </c:pt>
                <c:pt idx="5">
                  <c:v>98512</c:v>
                </c:pt>
                <c:pt idx="6">
                  <c:v>60018</c:v>
                </c:pt>
                <c:pt idx="7">
                  <c:v>17976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EF-4462-AD68-A33BDD05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604623"/>
        <c:axId val="188614703"/>
        <c:axId val="0"/>
      </c:bar3DChart>
      <c:catAx>
        <c:axId val="18860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14703"/>
        <c:crosses val="autoZero"/>
        <c:auto val="1"/>
        <c:lblAlgn val="ctr"/>
        <c:lblOffset val="100"/>
        <c:noMultiLvlLbl val="0"/>
      </c:catAx>
      <c:valAx>
        <c:axId val="1886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Applicant</a:t>
            </a:r>
            <a:r>
              <a:rPr lang="en-US" baseline="0"/>
              <a:t> Gender split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Gender_Split!$B$1</c:f>
              <c:strCache>
                <c:ptCount val="1"/>
                <c:pt idx="0">
                  <c:v>total_applicants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24-4294-B4FA-39B055DDBA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24-4294-B4FA-39B055DDBA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Gender_Split!$A$2:$A$3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Gender_Split!$B$2:$B$3</c:f>
              <c:numCache>
                <c:formatCode>General</c:formatCode>
                <c:ptCount val="2"/>
                <c:pt idx="0">
                  <c:v>310</c:v>
                </c:pt>
                <c:pt idx="1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4-4294-B4FA-39B055DDBA3E}"/>
            </c:ext>
          </c:extLst>
        </c:ser>
        <c:ser>
          <c:idx val="1"/>
          <c:order val="1"/>
          <c:tx>
            <c:strRef>
              <c:f>Gender_Split!$C$1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B24-4294-B4FA-39B055DDBA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B24-4294-B4FA-39B055DDBA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Gender_Split!$A$2:$A$3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Gender_Split!$C$2:$C$3</c:f>
              <c:numCache>
                <c:formatCode>General</c:formatCode>
                <c:ptCount val="2"/>
                <c:pt idx="0">
                  <c:v>31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24-4294-B4FA-39B055DDBA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credit amount by Purpose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580927384076992E-2"/>
          <c:y val="0.23652777777777778"/>
          <c:w val="0.87753018372703417"/>
          <c:h val="0.37977289297171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Credit_By_Purpose!$B$1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Credit_By_Purpose!$B$2:$B$9</c:f>
              <c:numCache>
                <c:formatCode>General</c:formatCode>
                <c:ptCount val="8"/>
                <c:pt idx="0">
                  <c:v>12</c:v>
                </c:pt>
                <c:pt idx="1">
                  <c:v>97</c:v>
                </c:pt>
                <c:pt idx="2">
                  <c:v>337</c:v>
                </c:pt>
                <c:pt idx="3">
                  <c:v>181</c:v>
                </c:pt>
                <c:pt idx="4">
                  <c:v>59</c:v>
                </c:pt>
                <c:pt idx="5">
                  <c:v>22</c:v>
                </c:pt>
                <c:pt idx="6">
                  <c:v>280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C-4514-8537-43DDA69B05BF}"/>
            </c:ext>
          </c:extLst>
        </c:ser>
        <c:ser>
          <c:idx val="1"/>
          <c:order val="1"/>
          <c:tx>
            <c:strRef>
              <c:f>Credit_By_Purpose!$C$1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Credit_By_Purpose!$C$2:$C$9</c:f>
              <c:numCache>
                <c:formatCode>General</c:formatCode>
                <c:ptCount val="8"/>
                <c:pt idx="0">
                  <c:v>8209.33</c:v>
                </c:pt>
                <c:pt idx="1">
                  <c:v>4158.04</c:v>
                </c:pt>
                <c:pt idx="2">
                  <c:v>3768.19</c:v>
                </c:pt>
                <c:pt idx="3">
                  <c:v>3066.99</c:v>
                </c:pt>
                <c:pt idx="4">
                  <c:v>2879.2</c:v>
                </c:pt>
                <c:pt idx="5">
                  <c:v>2728.09</c:v>
                </c:pt>
                <c:pt idx="6">
                  <c:v>2487.65</c:v>
                </c:pt>
                <c:pt idx="7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C-4514-8537-43DDA69B05BF}"/>
            </c:ext>
          </c:extLst>
        </c:ser>
        <c:ser>
          <c:idx val="2"/>
          <c:order val="2"/>
          <c:tx>
            <c:strRef>
              <c:f>Credit_By_Purpose!$D$1</c:f>
              <c:strCache>
                <c:ptCount val="1"/>
                <c:pt idx="0">
                  <c:v>avg_duration_months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Credit_By_Purpose!$A$2:$A$9</c:f>
              <c:strCache>
                <c:ptCount val="8"/>
                <c:pt idx="0">
                  <c:v>vacation/others</c:v>
                </c:pt>
                <c:pt idx="1">
                  <c:v>business</c:v>
                </c:pt>
                <c:pt idx="2">
                  <c:v>car</c:v>
                </c:pt>
                <c:pt idx="3">
                  <c:v>furniture/equipment</c:v>
                </c:pt>
                <c:pt idx="4">
                  <c:v>education</c:v>
                </c:pt>
                <c:pt idx="5">
                  <c:v>repairs</c:v>
                </c:pt>
                <c:pt idx="6">
                  <c:v>radio/TV</c:v>
                </c:pt>
                <c:pt idx="7">
                  <c:v>domestic appliances</c:v>
                </c:pt>
              </c:strCache>
            </c:strRef>
          </c:cat>
          <c:val>
            <c:numRef>
              <c:f>Credit_By_Purpose!$D$2:$D$9</c:f>
              <c:numCache>
                <c:formatCode>General</c:formatCode>
                <c:ptCount val="8"/>
                <c:pt idx="0">
                  <c:v>32.33</c:v>
                </c:pt>
                <c:pt idx="1">
                  <c:v>26.94</c:v>
                </c:pt>
                <c:pt idx="2">
                  <c:v>20.81</c:v>
                </c:pt>
                <c:pt idx="3">
                  <c:v>19.29</c:v>
                </c:pt>
                <c:pt idx="4">
                  <c:v>19.68</c:v>
                </c:pt>
                <c:pt idx="5">
                  <c:v>19.09</c:v>
                </c:pt>
                <c:pt idx="6">
                  <c:v>20.05</c:v>
                </c:pt>
                <c:pt idx="7">
                  <c:v>16.829999999999998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C-4514-8537-43DDA69B0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513423"/>
        <c:axId val="484519663"/>
      </c:barChart>
      <c:catAx>
        <c:axId val="48451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9663"/>
        <c:crosses val="autoZero"/>
        <c:auto val="1"/>
        <c:lblAlgn val="ctr"/>
        <c:lblOffset val="100"/>
        <c:noMultiLvlLbl val="0"/>
      </c:catAx>
      <c:valAx>
        <c:axId val="48451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credit</a:t>
            </a:r>
            <a:r>
              <a:rPr lang="en-US" baseline="0"/>
              <a:t> amount by housing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219805632404055"/>
          <c:y val="2.1376090001754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20916666666666667"/>
          <c:w val="0.87753018372703417"/>
          <c:h val="0.535863954505686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Credit_By_Housing!$B$1</c:f>
              <c:strCache>
                <c:ptCount val="1"/>
                <c:pt idx="0">
                  <c:v>total_applicants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Credit_By_Housing!$A$2:$A$4</c:f>
              <c:strCache>
                <c:ptCount val="3"/>
                <c:pt idx="0">
                  <c:v>free</c:v>
                </c:pt>
                <c:pt idx="1">
                  <c:v>rent</c:v>
                </c:pt>
                <c:pt idx="2">
                  <c:v>own</c:v>
                </c:pt>
              </c:strCache>
            </c:strRef>
          </c:cat>
          <c:val>
            <c:numRef>
              <c:f>Credit_By_Housing!$B$2:$B$4</c:f>
              <c:numCache>
                <c:formatCode>General</c:formatCode>
                <c:ptCount val="3"/>
                <c:pt idx="0">
                  <c:v>108</c:v>
                </c:pt>
                <c:pt idx="1">
                  <c:v>179</c:v>
                </c:pt>
                <c:pt idx="2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D-48E2-928F-A2711825FDE3}"/>
            </c:ext>
          </c:extLst>
        </c:ser>
        <c:ser>
          <c:idx val="1"/>
          <c:order val="1"/>
          <c:tx>
            <c:strRef>
              <c:f>Credit_By_Housing!$C$1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Credit_By_Housing!$A$2:$A$4</c:f>
              <c:strCache>
                <c:ptCount val="3"/>
                <c:pt idx="0">
                  <c:v>free</c:v>
                </c:pt>
                <c:pt idx="1">
                  <c:v>rent</c:v>
                </c:pt>
                <c:pt idx="2">
                  <c:v>own</c:v>
                </c:pt>
              </c:strCache>
            </c:strRef>
          </c:cat>
          <c:val>
            <c:numRef>
              <c:f>Credit_By_Housing!$C$2:$C$4</c:f>
              <c:numCache>
                <c:formatCode>General</c:formatCode>
                <c:ptCount val="3"/>
                <c:pt idx="0">
                  <c:v>4906.21</c:v>
                </c:pt>
                <c:pt idx="1">
                  <c:v>3122.55</c:v>
                </c:pt>
                <c:pt idx="2">
                  <c:v>3060.94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D-48E2-928F-A2711825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6228911"/>
        <c:axId val="496211151"/>
        <c:axId val="0"/>
      </c:bar3DChart>
      <c:catAx>
        <c:axId val="49622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11151"/>
        <c:crosses val="autoZero"/>
        <c:auto val="1"/>
        <c:lblAlgn val="ctr"/>
        <c:lblOffset val="100"/>
        <c:noMultiLvlLbl val="0"/>
      </c:catAx>
      <c:valAx>
        <c:axId val="49621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2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Highest risk combinations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Risk_Combinations!$C$1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Risk_Combinations!$A$2:$B$11</c:f>
              <c:multiLvlStrCache>
                <c:ptCount val="10"/>
                <c:lvl>
                  <c:pt idx="0">
                    <c:v>own</c:v>
                  </c:pt>
                  <c:pt idx="1">
                    <c:v>free</c:v>
                  </c:pt>
                  <c:pt idx="2">
                    <c:v>free</c:v>
                  </c:pt>
                  <c:pt idx="3">
                    <c:v>rent</c:v>
                  </c:pt>
                  <c:pt idx="4">
                    <c:v>free</c:v>
                  </c:pt>
                  <c:pt idx="5">
                    <c:v>free</c:v>
                  </c:pt>
                  <c:pt idx="6">
                    <c:v>free</c:v>
                  </c:pt>
                  <c:pt idx="7">
                    <c:v>own</c:v>
                  </c:pt>
                  <c:pt idx="8">
                    <c:v>rent</c:v>
                  </c:pt>
                  <c:pt idx="9">
                    <c:v>own</c:v>
                  </c:pt>
                </c:lvl>
                <c:lvl>
                  <c:pt idx="0">
                    <c:v>vacation/others</c:v>
                  </c:pt>
                  <c:pt idx="1">
                    <c:v>vacation/others</c:v>
                  </c:pt>
                  <c:pt idx="2">
                    <c:v>car</c:v>
                  </c:pt>
                  <c:pt idx="3">
                    <c:v>business</c:v>
                  </c:pt>
                  <c:pt idx="4">
                    <c:v>business</c:v>
                  </c:pt>
                  <c:pt idx="5">
                    <c:v>education</c:v>
                  </c:pt>
                  <c:pt idx="6">
                    <c:v>furniture/equipment</c:v>
                  </c:pt>
                  <c:pt idx="7">
                    <c:v>business</c:v>
                  </c:pt>
                  <c:pt idx="8">
                    <c:v>car</c:v>
                  </c:pt>
                  <c:pt idx="9">
                    <c:v>car</c:v>
                  </c:pt>
                </c:lvl>
              </c:multiLvlStrCache>
            </c:multiLvlStrRef>
          </c:cat>
          <c:val>
            <c:numRef>
              <c:f>Risk_Combinations!$C$2:$C$11</c:f>
              <c:numCache>
                <c:formatCode>General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55</c:v>
                </c:pt>
                <c:pt idx="3">
                  <c:v>16</c:v>
                </c:pt>
                <c:pt idx="4">
                  <c:v>5</c:v>
                </c:pt>
                <c:pt idx="5">
                  <c:v>15</c:v>
                </c:pt>
                <c:pt idx="6">
                  <c:v>11</c:v>
                </c:pt>
                <c:pt idx="7">
                  <c:v>76</c:v>
                </c:pt>
                <c:pt idx="8">
                  <c:v>63</c:v>
                </c:pt>
                <c:pt idx="9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C-49E2-BBBF-9B21B0268B82}"/>
            </c:ext>
          </c:extLst>
        </c:ser>
        <c:ser>
          <c:idx val="1"/>
          <c:order val="1"/>
          <c:tx>
            <c:strRef>
              <c:f>Risk_Combinations!$D$1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Risk_Combinations!$A$2:$B$11</c:f>
              <c:multiLvlStrCache>
                <c:ptCount val="10"/>
                <c:lvl>
                  <c:pt idx="0">
                    <c:v>own</c:v>
                  </c:pt>
                  <c:pt idx="1">
                    <c:v>free</c:v>
                  </c:pt>
                  <c:pt idx="2">
                    <c:v>free</c:v>
                  </c:pt>
                  <c:pt idx="3">
                    <c:v>rent</c:v>
                  </c:pt>
                  <c:pt idx="4">
                    <c:v>free</c:v>
                  </c:pt>
                  <c:pt idx="5">
                    <c:v>free</c:v>
                  </c:pt>
                  <c:pt idx="6">
                    <c:v>free</c:v>
                  </c:pt>
                  <c:pt idx="7">
                    <c:v>own</c:v>
                  </c:pt>
                  <c:pt idx="8">
                    <c:v>rent</c:v>
                  </c:pt>
                  <c:pt idx="9">
                    <c:v>own</c:v>
                  </c:pt>
                </c:lvl>
                <c:lvl>
                  <c:pt idx="0">
                    <c:v>vacation/others</c:v>
                  </c:pt>
                  <c:pt idx="1">
                    <c:v>vacation/others</c:v>
                  </c:pt>
                  <c:pt idx="2">
                    <c:v>car</c:v>
                  </c:pt>
                  <c:pt idx="3">
                    <c:v>business</c:v>
                  </c:pt>
                  <c:pt idx="4">
                    <c:v>business</c:v>
                  </c:pt>
                  <c:pt idx="5">
                    <c:v>education</c:v>
                  </c:pt>
                  <c:pt idx="6">
                    <c:v>furniture/equipment</c:v>
                  </c:pt>
                  <c:pt idx="7">
                    <c:v>business</c:v>
                  </c:pt>
                  <c:pt idx="8">
                    <c:v>car</c:v>
                  </c:pt>
                  <c:pt idx="9">
                    <c:v>car</c:v>
                  </c:pt>
                </c:lvl>
              </c:multiLvlStrCache>
            </c:multiLvlStrRef>
          </c:cat>
          <c:val>
            <c:numRef>
              <c:f>Risk_Combinations!$D$2:$D$11</c:f>
              <c:numCache>
                <c:formatCode>General</c:formatCode>
                <c:ptCount val="10"/>
                <c:pt idx="0">
                  <c:v>8700.3799999999992</c:v>
                </c:pt>
                <c:pt idx="1">
                  <c:v>7227.25</c:v>
                </c:pt>
                <c:pt idx="2">
                  <c:v>5834.18</c:v>
                </c:pt>
                <c:pt idx="3">
                  <c:v>5614.13</c:v>
                </c:pt>
                <c:pt idx="4">
                  <c:v>4931.8</c:v>
                </c:pt>
                <c:pt idx="5">
                  <c:v>4387.2700000000004</c:v>
                </c:pt>
                <c:pt idx="6">
                  <c:v>4100.18</c:v>
                </c:pt>
                <c:pt idx="7">
                  <c:v>3800.59</c:v>
                </c:pt>
                <c:pt idx="8">
                  <c:v>3487.97</c:v>
                </c:pt>
                <c:pt idx="9">
                  <c:v>3329.95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C-49E2-BBBF-9B21B026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780143"/>
        <c:axId val="594790703"/>
        <c:axId val="0"/>
      </c:bar3DChart>
      <c:catAx>
        <c:axId val="59478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90703"/>
        <c:crosses val="autoZero"/>
        <c:auto val="1"/>
        <c:lblAlgn val="ctr"/>
        <c:lblOffset val="100"/>
        <c:noMultiLvlLbl val="0"/>
      </c:catAx>
      <c:valAx>
        <c:axId val="594790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8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baseline="0"/>
              <a:t> vs Average credit by purpose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query5_total_vs_avg_by_purpose!$B$1</c:f>
              <c:strCache>
                <c:ptCount val="1"/>
                <c:pt idx="0">
                  <c:v>total_loans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query5_total_vs_avg_by_purpose!$B$2:$B$9</c:f>
              <c:numCache>
                <c:formatCode>General</c:formatCode>
                <c:ptCount val="8"/>
                <c:pt idx="0">
                  <c:v>337</c:v>
                </c:pt>
                <c:pt idx="1">
                  <c:v>280</c:v>
                </c:pt>
                <c:pt idx="2">
                  <c:v>181</c:v>
                </c:pt>
                <c:pt idx="3">
                  <c:v>97</c:v>
                </c:pt>
                <c:pt idx="4">
                  <c:v>59</c:v>
                </c:pt>
                <c:pt idx="5">
                  <c:v>12</c:v>
                </c:pt>
                <c:pt idx="6">
                  <c:v>22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0-406B-AE79-EFD2E2EB2A2E}"/>
            </c:ext>
          </c:extLst>
        </c:ser>
        <c:ser>
          <c:idx val="1"/>
          <c:order val="1"/>
          <c:tx>
            <c:strRef>
              <c:f>query5_total_vs_avg_by_purpose!$C$1</c:f>
              <c:strCache>
                <c:ptCount val="1"/>
                <c:pt idx="0">
                  <c:v>avg_credit_amount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query5_total_vs_avg_by_purpose!$C$2:$C$9</c:f>
              <c:numCache>
                <c:formatCode>General</c:formatCode>
                <c:ptCount val="8"/>
                <c:pt idx="0">
                  <c:v>3768.19</c:v>
                </c:pt>
                <c:pt idx="1">
                  <c:v>2487.65</c:v>
                </c:pt>
                <c:pt idx="2">
                  <c:v>3066.99</c:v>
                </c:pt>
                <c:pt idx="3">
                  <c:v>4158.04</c:v>
                </c:pt>
                <c:pt idx="4">
                  <c:v>2879.2</c:v>
                </c:pt>
                <c:pt idx="5">
                  <c:v>8209.33</c:v>
                </c:pt>
                <c:pt idx="6">
                  <c:v>2728.09</c:v>
                </c:pt>
                <c:pt idx="7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0-406B-AE79-EFD2E2EB2A2E}"/>
            </c:ext>
          </c:extLst>
        </c:ser>
        <c:ser>
          <c:idx val="2"/>
          <c:order val="2"/>
          <c:tx>
            <c:strRef>
              <c:f>query5_total_vs_avg_by_purpose!$D$1</c:f>
              <c:strCache>
                <c:ptCount val="1"/>
                <c:pt idx="0">
                  <c:v>total_credit_amount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query5_total_vs_avg_by_purpose!$A$2:$A$9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vacation/others</c:v>
                </c:pt>
                <c:pt idx="6">
                  <c:v>repairs</c:v>
                </c:pt>
                <c:pt idx="7">
                  <c:v>domestic appliances</c:v>
                </c:pt>
              </c:strCache>
            </c:strRef>
          </c:cat>
          <c:val>
            <c:numRef>
              <c:f>query5_total_vs_avg_by_purpose!$D$2:$D$9</c:f>
              <c:numCache>
                <c:formatCode>General</c:formatCode>
                <c:ptCount val="8"/>
                <c:pt idx="0">
                  <c:v>1269881</c:v>
                </c:pt>
                <c:pt idx="1">
                  <c:v>696543</c:v>
                </c:pt>
                <c:pt idx="2">
                  <c:v>555125</c:v>
                </c:pt>
                <c:pt idx="3">
                  <c:v>403330</c:v>
                </c:pt>
                <c:pt idx="4">
                  <c:v>169873</c:v>
                </c:pt>
                <c:pt idx="5">
                  <c:v>98512</c:v>
                </c:pt>
                <c:pt idx="6">
                  <c:v>60018</c:v>
                </c:pt>
                <c:pt idx="7">
                  <c:v>17976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0-406B-AE79-EFD2E2EB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604623"/>
        <c:axId val="188614703"/>
        <c:axId val="0"/>
      </c:bar3DChart>
      <c:catAx>
        <c:axId val="18860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14703"/>
        <c:crosses val="autoZero"/>
        <c:auto val="1"/>
        <c:lblAlgn val="ctr"/>
        <c:lblOffset val="100"/>
        <c:noMultiLvlLbl val="0"/>
      </c:catAx>
      <c:valAx>
        <c:axId val="1886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57149</xdr:rowOff>
    </xdr:from>
    <xdr:to>
      <xdr:col>10</xdr:col>
      <xdr:colOff>209550</xdr:colOff>
      <xdr:row>13</xdr:row>
      <xdr:rowOff>14286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EA1EE-A44F-078C-7DF8-7E9FE0202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1085850</xdr:colOff>
      <xdr:row>0</xdr:row>
      <xdr:rowOff>185737</xdr:rowOff>
    </xdr:from>
    <xdr:to>
      <xdr:col>9</xdr:col>
      <xdr:colOff>538162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73F26-6BDA-2F0E-E45B-E939C8AA5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1</xdr:row>
      <xdr:rowOff>152399</xdr:rowOff>
    </xdr:from>
    <xdr:to>
      <xdr:col>9</xdr:col>
      <xdr:colOff>514350</xdr:colOff>
      <xdr:row>14</xdr:row>
      <xdr:rowOff>185736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9EB2B-60F1-147B-B93C-6EE9F2148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0</xdr:row>
      <xdr:rowOff>100012</xdr:rowOff>
    </xdr:from>
    <xdr:to>
      <xdr:col>11</xdr:col>
      <xdr:colOff>195261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F0F82-CC50-7D85-578F-807343862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0</xdr:row>
      <xdr:rowOff>176212</xdr:rowOff>
    </xdr:from>
    <xdr:to>
      <xdr:col>9</xdr:col>
      <xdr:colOff>338137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94727-3680-204B-C63E-7946C91FC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561976</xdr:colOff>
      <xdr:row>2</xdr:row>
      <xdr:rowOff>19051</xdr:rowOff>
    </xdr:from>
    <xdr:to>
      <xdr:col>6</xdr:col>
      <xdr:colOff>247650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973F6-CCBD-4453-ACF0-3F178F01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2</xdr:row>
      <xdr:rowOff>28575</xdr:rowOff>
    </xdr:from>
    <xdr:to>
      <xdr:col>13</xdr:col>
      <xdr:colOff>95251</xdr:colOff>
      <xdr:row>12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21209-0659-4799-A5B1-79DCC368A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590551</xdr:colOff>
      <xdr:row>13</xdr:row>
      <xdr:rowOff>19050</xdr:rowOff>
    </xdr:from>
    <xdr:to>
      <xdr:col>6</xdr:col>
      <xdr:colOff>257175</xdr:colOff>
      <xdr:row>23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AA2D7-C43D-4FE1-AC99-4BC19E42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13</xdr:row>
      <xdr:rowOff>9525</xdr:rowOff>
    </xdr:from>
    <xdr:to>
      <xdr:col>13</xdr:col>
      <xdr:colOff>133349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D63C79-3BE9-4803-9702-DFF96C0C8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</xdr:colOff>
      <xdr:row>25</xdr:row>
      <xdr:rowOff>133351</xdr:rowOff>
    </xdr:from>
    <xdr:to>
      <xdr:col>10</xdr:col>
      <xdr:colOff>180976</xdr:colOff>
      <xdr:row>37</xdr:row>
      <xdr:rowOff>76201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A39829-2BAC-41F5-8010-F464D121A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9DD75D-E555-449A-AF24-93A322D8AF01}" autoFormatId="16" applyNumberFormats="0" applyBorderFormats="0" applyFontFormats="0" applyPatternFormats="0" applyAlignmentFormats="0" applyWidthHeightFormats="0">
  <queryTableRefresh nextId="4">
    <queryTableFields count="3">
      <queryTableField id="1" name="sex" tableColumnId="1"/>
      <queryTableField id="2" name="total_applicants" tableColumnId="2"/>
      <queryTableField id="3" name="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882593-9B5B-4A99-8B93-2D64B4BEDC66}" autoFormatId="16" applyNumberFormats="0" applyBorderFormats="0" applyFontFormats="0" applyPatternFormats="0" applyAlignmentFormats="0" applyWidthHeightFormats="0">
  <queryTableRefresh nextId="5">
    <queryTableFields count="4">
      <queryTableField id="1" name="purpose" tableColumnId="1"/>
      <queryTableField id="2" name="total_loans" tableColumnId="2"/>
      <queryTableField id="3" name="avg_credit_amount" tableColumnId="3"/>
      <queryTableField id="4" name="avg_duration_month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94B554-5F0B-4B78-ACB8-6395CCCB14CF}" autoFormatId="16" applyNumberFormats="0" applyBorderFormats="0" applyFontFormats="0" applyPatternFormats="0" applyAlignmentFormats="0" applyWidthHeightFormats="0">
  <queryTableRefresh nextId="4">
    <queryTableFields count="3">
      <queryTableField id="1" name="housing" tableColumnId="1"/>
      <queryTableField id="2" name="total_applicants" tableColumnId="2"/>
      <queryTableField id="3" name="avg_credit_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38F937-A3D0-45CA-82AE-D53C45EFE32B}" autoFormatId="16" applyNumberFormats="0" applyBorderFormats="0" applyFontFormats="0" applyPatternFormats="0" applyAlignmentFormats="0" applyWidthHeightFormats="0">
  <queryTableRefresh nextId="5">
    <queryTableFields count="4">
      <queryTableField id="1" name="purpose" tableColumnId="1"/>
      <queryTableField id="2" name="housing" tableColumnId="2"/>
      <queryTableField id="3" name="total_loans" tableColumnId="3"/>
      <queryTableField id="4" name="avg_credit_amoun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E17F5A1-5417-4D8F-859F-72AA5C39F3EB}" autoFormatId="16" applyNumberFormats="0" applyBorderFormats="0" applyFontFormats="0" applyPatternFormats="0" applyAlignmentFormats="0" applyWidthHeightFormats="0">
  <queryTableRefresh nextId="5">
    <queryTableFields count="4">
      <queryTableField id="1" name="purpose" tableColumnId="1"/>
      <queryTableField id="2" name="total_loans" tableColumnId="2"/>
      <queryTableField id="3" name="avg_credit_amount" tableColumnId="3"/>
      <queryTableField id="4" name="total_credit_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FE861-0E07-4E80-BDD5-DB95F684BFE2}" name="query1_gender_split" displayName="query1_gender_split" ref="A1:C3" tableType="queryTable" totalsRowShown="0">
  <autoFilter ref="A1:C3" xr:uid="{668FE861-0E07-4E80-BDD5-DB95F684BFE2}"/>
  <tableColumns count="3">
    <tableColumn id="1" xr3:uid="{B999CC51-527F-4A5A-8CFE-8A22B38F0E07}" uniqueName="1" name="sex" queryTableFieldId="1" dataDxfId="5"/>
    <tableColumn id="2" xr3:uid="{1AB155F7-4292-4EA5-83E5-E95334DA5D7F}" uniqueName="2" name="total_applicants" queryTableFieldId="2"/>
    <tableColumn id="3" xr3:uid="{1D7BE1EA-E4E4-46C5-93AE-B73DADF10311}" uniqueName="3" name="percentage" queryTableField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B2534-ED28-48DC-8CFB-EFF6D4469B68}" name="query2_avg_credit_by_purpose" displayName="query2_avg_credit_by_purpose" ref="A1:D9" tableType="queryTable" totalsRowShown="0">
  <autoFilter ref="A1:D9" xr:uid="{EB4B2534-ED28-48DC-8CFB-EFF6D4469B68}"/>
  <tableColumns count="4">
    <tableColumn id="1" xr3:uid="{13D0E5F9-7416-49D8-B08E-CD485B0FA151}" uniqueName="1" name="purpose" queryTableFieldId="1" dataDxfId="4"/>
    <tableColumn id="2" xr3:uid="{D3A1CCC9-8D15-4C1B-9644-75DCDCBF4A6B}" uniqueName="2" name="total_loans" queryTableFieldId="2"/>
    <tableColumn id="3" xr3:uid="{843622FE-89C9-4385-A4D3-0F8CCF1AC779}" uniqueName="3" name="avg_credit_amount" queryTableFieldId="3"/>
    <tableColumn id="4" xr3:uid="{1AAEE949-FAE7-425F-BB6D-32F65BA01861}" uniqueName="4" name="avg_duration_month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4083AE-F6BA-4919-9028-76EFB58120A2}" name="query3_avg_credit_by_housing" displayName="query3_avg_credit_by_housing" ref="A1:C4" tableType="queryTable" totalsRowShown="0">
  <autoFilter ref="A1:C4" xr:uid="{7A4083AE-F6BA-4919-9028-76EFB58120A2}"/>
  <tableColumns count="3">
    <tableColumn id="1" xr3:uid="{A28BD2C6-A2EC-4848-8EDE-E3D7ABC55CCA}" uniqueName="1" name="housing" queryTableFieldId="1" dataDxfId="3"/>
    <tableColumn id="2" xr3:uid="{4C42E04E-92CA-46B2-9128-92E482356EBD}" uniqueName="2" name="total_applicants" queryTableFieldId="2"/>
    <tableColumn id="3" xr3:uid="{7E0FAC0D-75B8-47DA-B48B-14AFCF5885CE}" uniqueName="3" name="avg_credit_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1D6DC5-24E5-4ACB-B188-574D1D7D1E89}" name="query4_top10_risk_combinations" displayName="query4_top10_risk_combinations" ref="A1:D11" tableType="queryTable" totalsRowShown="0">
  <autoFilter ref="A1:D11" xr:uid="{B41D6DC5-24E5-4ACB-B188-574D1D7D1E89}"/>
  <tableColumns count="4">
    <tableColumn id="1" xr3:uid="{886BA764-8F27-42C0-85A3-6EE5C962914B}" uniqueName="1" name="purpose" queryTableFieldId="1" dataDxfId="2"/>
    <tableColumn id="2" xr3:uid="{5357A537-2C3F-4AE0-8425-A744F5CF198C}" uniqueName="2" name="housing" queryTableFieldId="2" dataDxfId="1"/>
    <tableColumn id="3" xr3:uid="{69604365-0C4C-438D-957B-3ABE1A858EA4}" uniqueName="3" name="total_loans" queryTableFieldId="3"/>
    <tableColumn id="4" xr3:uid="{378B6879-B03C-4503-AB62-8DEDB0BF3DAA}" uniqueName="4" name="avg_credit_amoun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BB8AEB-1113-4A2B-B693-DC09D0CE3282}" name="query5_total_vs_avg_by_purpose" displayName="query5_total_vs_avg_by_purpose" ref="A1:D9" tableType="queryTable" totalsRowShown="0">
  <autoFilter ref="A1:D9" xr:uid="{CABB8AEB-1113-4A2B-B693-DC09D0CE3282}"/>
  <tableColumns count="4">
    <tableColumn id="1" xr3:uid="{381ADA41-560A-48DC-8297-AC4E54A76690}" uniqueName="1" name="purpose" queryTableFieldId="1" dataDxfId="0"/>
    <tableColumn id="2" xr3:uid="{DBDBCA7C-0F38-45C1-B35A-D01144095509}" uniqueName="2" name="total_loans" queryTableFieldId="2"/>
    <tableColumn id="3" xr3:uid="{7677286D-5502-48A3-A597-5CFECC194909}" uniqueName="3" name="avg_credit_amount" queryTableFieldId="3"/>
    <tableColumn id="4" xr3:uid="{A372DD52-AD60-451D-BC02-ED5808A8007D}" uniqueName="4" name="total_credit_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7B2D-5818-4493-A517-7FE2510463B6}">
  <dimension ref="A1:C3"/>
  <sheetViews>
    <sheetView workbookViewId="0">
      <selection activeCell="M10" sqref="M10"/>
    </sheetView>
  </sheetViews>
  <sheetFormatPr defaultRowHeight="15" x14ac:dyDescent="0.25"/>
  <cols>
    <col min="1" max="1" width="7.28515625" bestFit="1" customWidth="1"/>
    <col min="2" max="2" width="17.5703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310</v>
      </c>
      <c r="C2">
        <v>31</v>
      </c>
    </row>
    <row r="3" spans="1:3" x14ac:dyDescent="0.25">
      <c r="A3" t="s">
        <v>4</v>
      </c>
      <c r="B3">
        <v>690</v>
      </c>
      <c r="C3">
        <v>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64BC-2C8B-4A87-9326-0AD409AD00D6}">
  <dimension ref="A1:D9"/>
  <sheetViews>
    <sheetView workbookViewId="0">
      <selection activeCell="K17" sqref="K17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20.5703125" bestFit="1" customWidth="1"/>
    <col min="4" max="4" width="22.855468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>
        <v>12</v>
      </c>
      <c r="C2">
        <v>8209.33</v>
      </c>
      <c r="D2">
        <v>32.33</v>
      </c>
    </row>
    <row r="3" spans="1:4" x14ac:dyDescent="0.25">
      <c r="A3" t="s">
        <v>10</v>
      </c>
      <c r="B3">
        <v>97</v>
      </c>
      <c r="C3">
        <v>4158.04</v>
      </c>
      <c r="D3">
        <v>26.94</v>
      </c>
    </row>
    <row r="4" spans="1:4" x14ac:dyDescent="0.25">
      <c r="A4" t="s">
        <v>11</v>
      </c>
      <c r="B4">
        <v>337</v>
      </c>
      <c r="C4">
        <v>3768.19</v>
      </c>
      <c r="D4">
        <v>20.81</v>
      </c>
    </row>
    <row r="5" spans="1:4" x14ac:dyDescent="0.25">
      <c r="A5" t="s">
        <v>12</v>
      </c>
      <c r="B5">
        <v>181</v>
      </c>
      <c r="C5">
        <v>3066.99</v>
      </c>
      <c r="D5">
        <v>19.29</v>
      </c>
    </row>
    <row r="6" spans="1:4" x14ac:dyDescent="0.25">
      <c r="A6" t="s">
        <v>13</v>
      </c>
      <c r="B6">
        <v>59</v>
      </c>
      <c r="C6">
        <v>2879.2</v>
      </c>
      <c r="D6">
        <v>19.68</v>
      </c>
    </row>
    <row r="7" spans="1:4" x14ac:dyDescent="0.25">
      <c r="A7" t="s">
        <v>14</v>
      </c>
      <c r="B7">
        <v>22</v>
      </c>
      <c r="C7">
        <v>2728.09</v>
      </c>
      <c r="D7">
        <v>19.09</v>
      </c>
    </row>
    <row r="8" spans="1:4" x14ac:dyDescent="0.25">
      <c r="A8" t="s">
        <v>15</v>
      </c>
      <c r="B8">
        <v>280</v>
      </c>
      <c r="C8">
        <v>2487.65</v>
      </c>
      <c r="D8">
        <v>20.05</v>
      </c>
    </row>
    <row r="9" spans="1:4" x14ac:dyDescent="0.25">
      <c r="A9" t="s">
        <v>16</v>
      </c>
      <c r="B9">
        <v>12</v>
      </c>
      <c r="C9">
        <v>1498</v>
      </c>
      <c r="D9">
        <v>16.829999999999998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F36E-D283-4F13-B65A-4C66BB5BC8DC}">
  <dimension ref="A1:C4"/>
  <sheetViews>
    <sheetView workbookViewId="0">
      <selection activeCell="H17" sqref="H17"/>
    </sheetView>
  </sheetViews>
  <sheetFormatPr defaultRowHeight="15" x14ac:dyDescent="0.25"/>
  <cols>
    <col min="1" max="1" width="10.28515625" bestFit="1" customWidth="1"/>
    <col min="2" max="2" width="17.5703125" bestFit="1" customWidth="1"/>
    <col min="3" max="3" width="20.5703125" bestFit="1" customWidth="1"/>
  </cols>
  <sheetData>
    <row r="1" spans="1:3" x14ac:dyDescent="0.25">
      <c r="A1" t="s">
        <v>17</v>
      </c>
      <c r="B1" t="s">
        <v>1</v>
      </c>
      <c r="C1" t="s">
        <v>7</v>
      </c>
    </row>
    <row r="2" spans="1:3" x14ac:dyDescent="0.25">
      <c r="A2" t="s">
        <v>18</v>
      </c>
      <c r="B2">
        <v>108</v>
      </c>
      <c r="C2">
        <v>4906.21</v>
      </c>
    </row>
    <row r="3" spans="1:3" x14ac:dyDescent="0.25">
      <c r="A3" t="s">
        <v>19</v>
      </c>
      <c r="B3">
        <v>179</v>
      </c>
      <c r="C3">
        <v>3122.55</v>
      </c>
    </row>
    <row r="4" spans="1:3" x14ac:dyDescent="0.25">
      <c r="A4" t="s">
        <v>20</v>
      </c>
      <c r="B4">
        <v>713</v>
      </c>
      <c r="C4">
        <v>3060.94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BC7E-520F-4B1F-9F52-1A251CC2FB82}">
  <dimension ref="A1:D11"/>
  <sheetViews>
    <sheetView workbookViewId="0">
      <selection activeCell="E14" sqref="E14"/>
    </sheetView>
  </sheetViews>
  <sheetFormatPr defaultRowHeight="15" x14ac:dyDescent="0.25"/>
  <cols>
    <col min="1" max="1" width="20" bestFit="1" customWidth="1"/>
    <col min="2" max="2" width="10.28515625" bestFit="1" customWidth="1"/>
    <col min="3" max="3" width="13.140625" bestFit="1" customWidth="1"/>
    <col min="4" max="4" width="20.5703125" bestFit="1" customWidth="1"/>
  </cols>
  <sheetData>
    <row r="1" spans="1:4" x14ac:dyDescent="0.25">
      <c r="A1" t="s">
        <v>5</v>
      </c>
      <c r="B1" t="s">
        <v>17</v>
      </c>
      <c r="C1" t="s">
        <v>6</v>
      </c>
      <c r="D1" t="s">
        <v>7</v>
      </c>
    </row>
    <row r="2" spans="1:4" x14ac:dyDescent="0.25">
      <c r="A2" t="s">
        <v>9</v>
      </c>
      <c r="B2" t="s">
        <v>20</v>
      </c>
      <c r="C2">
        <v>8</v>
      </c>
      <c r="D2">
        <v>8700.3799999999992</v>
      </c>
    </row>
    <row r="3" spans="1:4" x14ac:dyDescent="0.25">
      <c r="A3" t="s">
        <v>9</v>
      </c>
      <c r="B3" t="s">
        <v>18</v>
      </c>
      <c r="C3">
        <v>4</v>
      </c>
      <c r="D3">
        <v>7227.25</v>
      </c>
    </row>
    <row r="4" spans="1:4" x14ac:dyDescent="0.25">
      <c r="A4" t="s">
        <v>11</v>
      </c>
      <c r="B4" t="s">
        <v>18</v>
      </c>
      <c r="C4">
        <v>55</v>
      </c>
      <c r="D4">
        <v>5834.18</v>
      </c>
    </row>
    <row r="5" spans="1:4" x14ac:dyDescent="0.25">
      <c r="A5" t="s">
        <v>10</v>
      </c>
      <c r="B5" t="s">
        <v>19</v>
      </c>
      <c r="C5">
        <v>16</v>
      </c>
      <c r="D5">
        <v>5614.13</v>
      </c>
    </row>
    <row r="6" spans="1:4" x14ac:dyDescent="0.25">
      <c r="A6" t="s">
        <v>10</v>
      </c>
      <c r="B6" t="s">
        <v>18</v>
      </c>
      <c r="C6">
        <v>5</v>
      </c>
      <c r="D6">
        <v>4931.8</v>
      </c>
    </row>
    <row r="7" spans="1:4" x14ac:dyDescent="0.25">
      <c r="A7" t="s">
        <v>13</v>
      </c>
      <c r="B7" t="s">
        <v>18</v>
      </c>
      <c r="C7">
        <v>15</v>
      </c>
      <c r="D7">
        <v>4387.2700000000004</v>
      </c>
    </row>
    <row r="8" spans="1:4" x14ac:dyDescent="0.25">
      <c r="A8" t="s">
        <v>12</v>
      </c>
      <c r="B8" t="s">
        <v>18</v>
      </c>
      <c r="C8">
        <v>11</v>
      </c>
      <c r="D8">
        <v>4100.18</v>
      </c>
    </row>
    <row r="9" spans="1:4" x14ac:dyDescent="0.25">
      <c r="A9" t="s">
        <v>10</v>
      </c>
      <c r="B9" t="s">
        <v>20</v>
      </c>
      <c r="C9">
        <v>76</v>
      </c>
      <c r="D9">
        <v>3800.59</v>
      </c>
    </row>
    <row r="10" spans="1:4" x14ac:dyDescent="0.25">
      <c r="A10" t="s">
        <v>11</v>
      </c>
      <c r="B10" t="s">
        <v>19</v>
      </c>
      <c r="C10">
        <v>63</v>
      </c>
      <c r="D10">
        <v>3487.97</v>
      </c>
    </row>
    <row r="11" spans="1:4" x14ac:dyDescent="0.25">
      <c r="A11" t="s">
        <v>11</v>
      </c>
      <c r="B11" t="s">
        <v>20</v>
      </c>
      <c r="C11">
        <v>219</v>
      </c>
      <c r="D11">
        <v>3329.95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9209-1ED1-4EFC-BF66-D9DB3836781D}">
  <dimension ref="A1:D9"/>
  <sheetViews>
    <sheetView workbookViewId="0">
      <selection activeCell="J13" sqref="J13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20.5703125" bestFit="1" customWidth="1"/>
    <col min="4" max="4" width="21.71093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21</v>
      </c>
    </row>
    <row r="2" spans="1:4" x14ac:dyDescent="0.25">
      <c r="A2" t="s">
        <v>11</v>
      </c>
      <c r="B2">
        <v>337</v>
      </c>
      <c r="C2">
        <v>3768.19</v>
      </c>
      <c r="D2">
        <v>1269881</v>
      </c>
    </row>
    <row r="3" spans="1:4" x14ac:dyDescent="0.25">
      <c r="A3" t="s">
        <v>15</v>
      </c>
      <c r="B3">
        <v>280</v>
      </c>
      <c r="C3">
        <v>2487.65</v>
      </c>
      <c r="D3">
        <v>696543</v>
      </c>
    </row>
    <row r="4" spans="1:4" x14ac:dyDescent="0.25">
      <c r="A4" t="s">
        <v>12</v>
      </c>
      <c r="B4">
        <v>181</v>
      </c>
      <c r="C4">
        <v>3066.99</v>
      </c>
      <c r="D4">
        <v>555125</v>
      </c>
    </row>
    <row r="5" spans="1:4" x14ac:dyDescent="0.25">
      <c r="A5" t="s">
        <v>10</v>
      </c>
      <c r="B5">
        <v>97</v>
      </c>
      <c r="C5">
        <v>4158.04</v>
      </c>
      <c r="D5">
        <v>403330</v>
      </c>
    </row>
    <row r="6" spans="1:4" x14ac:dyDescent="0.25">
      <c r="A6" t="s">
        <v>13</v>
      </c>
      <c r="B6">
        <v>59</v>
      </c>
      <c r="C6">
        <v>2879.2</v>
      </c>
      <c r="D6">
        <v>169873</v>
      </c>
    </row>
    <row r="7" spans="1:4" x14ac:dyDescent="0.25">
      <c r="A7" t="s">
        <v>9</v>
      </c>
      <c r="B7">
        <v>12</v>
      </c>
      <c r="C7">
        <v>8209.33</v>
      </c>
      <c r="D7">
        <v>98512</v>
      </c>
    </row>
    <row r="8" spans="1:4" x14ac:dyDescent="0.25">
      <c r="A8" t="s">
        <v>14</v>
      </c>
      <c r="B8">
        <v>22</v>
      </c>
      <c r="C8">
        <v>2728.09</v>
      </c>
      <c r="D8">
        <v>60018</v>
      </c>
    </row>
    <row r="9" spans="1:4" x14ac:dyDescent="0.25">
      <c r="A9" t="s">
        <v>16</v>
      </c>
      <c r="B9">
        <v>12</v>
      </c>
      <c r="C9">
        <v>1498</v>
      </c>
      <c r="D9">
        <v>17976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C48D-14AF-4D8C-B587-0E2F9B64F67A}">
  <dimension ref="E1:J1"/>
  <sheetViews>
    <sheetView tabSelected="1" workbookViewId="0">
      <selection activeCell="P6" sqref="P6"/>
    </sheetView>
  </sheetViews>
  <sheetFormatPr defaultRowHeight="15" x14ac:dyDescent="0.25"/>
  <cols>
    <col min="1" max="16384" width="9.140625" style="1"/>
  </cols>
  <sheetData>
    <row r="1" spans="5:10" ht="21" x14ac:dyDescent="0.35">
      <c r="E1" s="2" t="s">
        <v>22</v>
      </c>
      <c r="F1" s="3"/>
      <c r="G1" s="3"/>
      <c r="H1" s="3"/>
      <c r="I1" s="3"/>
      <c r="J1" s="3"/>
    </row>
  </sheetData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C3917-EBBA-4023-9FE5-355436973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Gender_Split</vt:lpstr>
      <vt:lpstr>Credit_By_Purpose</vt:lpstr>
      <vt:lpstr>Credit_By_Housing</vt:lpstr>
      <vt:lpstr>Risk_Combinations</vt:lpstr>
      <vt:lpstr>query5_total_vs_avg_by_purpose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cp:lastPrinted>2026-04-09T13:34:48Z</cp:lastPrinted>
  <dcterms:created xsi:type="dcterms:W3CDTF">2026-04-08T13:50:44Z</dcterms:created>
  <dcterms:modified xsi:type="dcterms:W3CDTF">2026-04-09T13:36:40Z</dcterms:modified>
</cp:coreProperties>
</file>